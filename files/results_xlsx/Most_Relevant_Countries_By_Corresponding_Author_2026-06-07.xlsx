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GIT\GrainStorage\files\results_xlsx\"/>
    </mc:Choice>
  </mc:AlternateContent>
  <xr:revisionPtr revIDLastSave="0" documentId="13_ncr:1_{04DB8BBB-C492-4327-9374-43C331E233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H15" i="1" l="1"/>
  <c r="H16" i="1"/>
  <c r="H17" i="1"/>
  <c r="H18" i="1"/>
  <c r="H19" i="1"/>
  <c r="H20" i="1"/>
  <c r="H21" i="1"/>
  <c r="H22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<sst xmlns="http://schemas.openxmlformats.org/spreadsheetml/2006/main" count="67" uniqueCount="67">
  <si>
    <t>Country</t>
  </si>
  <si>
    <t>Articles</t>
  </si>
  <si>
    <t>Articles %</t>
  </si>
  <si>
    <t>SCP</t>
  </si>
  <si>
    <t>MCP</t>
  </si>
  <si>
    <t>MCP %</t>
  </si>
  <si>
    <t>INDIA</t>
  </si>
  <si>
    <t>CHINA</t>
  </si>
  <si>
    <t>BRAZIL</t>
  </si>
  <si>
    <t>PAKISTAN</t>
  </si>
  <si>
    <t>USA</t>
  </si>
  <si>
    <t>GREECE</t>
  </si>
  <si>
    <t>EGYPT</t>
  </si>
  <si>
    <t>TURKEY</t>
  </si>
  <si>
    <t>AUSTRALIA</t>
  </si>
  <si>
    <t>KOREA</t>
  </si>
  <si>
    <t>ARGENTINA</t>
  </si>
  <si>
    <t>CANADA</t>
  </si>
  <si>
    <t>IRAN</t>
  </si>
  <si>
    <t>ITALY</t>
  </si>
  <si>
    <t>SAUDI ARABIA</t>
  </si>
  <si>
    <t>ALGERIA</t>
  </si>
  <si>
    <t>IRAQ</t>
  </si>
  <si>
    <t>CHILE</t>
  </si>
  <si>
    <t>MEXICO</t>
  </si>
  <si>
    <t>CZECH REPUBLIC</t>
  </si>
  <si>
    <t>GERMANY</t>
  </si>
  <si>
    <t>COLOMBIA</t>
  </si>
  <si>
    <t>ETHIOPIA</t>
  </si>
  <si>
    <t>NIGERIA</t>
  </si>
  <si>
    <t>SOUTH AFRICA</t>
  </si>
  <si>
    <t>UNITED KINGDOM</t>
  </si>
  <si>
    <t>BANGLADESH</t>
  </si>
  <si>
    <t>MOROCCO</t>
  </si>
  <si>
    <t>SPAIN</t>
  </si>
  <si>
    <t>TUNISIA</t>
  </si>
  <si>
    <t>ZIMBABWE</t>
  </si>
  <si>
    <t>CAMEROON</t>
  </si>
  <si>
    <t>GHANA</t>
  </si>
  <si>
    <t>HUNGARY</t>
  </si>
  <si>
    <t>ISRAEL</t>
  </si>
  <si>
    <t>THAILAND</t>
  </si>
  <si>
    <t>BELGIUM</t>
  </si>
  <si>
    <t>DENMARK</t>
  </si>
  <si>
    <t>FINLAND</t>
  </si>
  <si>
    <t>SRI LANKA</t>
  </si>
  <si>
    <t>FRANCE</t>
  </si>
  <si>
    <t>INDONESIA</t>
  </si>
  <si>
    <t>IRELAND</t>
  </si>
  <si>
    <t>MOZAMBIQUE</t>
  </si>
  <si>
    <t>SERBIA</t>
  </si>
  <si>
    <t>SLOVENIA</t>
  </si>
  <si>
    <t>COMOROS</t>
  </si>
  <si>
    <t>CROATIA</t>
  </si>
  <si>
    <t>ECUADOR</t>
  </si>
  <si>
    <t>JAPAN</t>
  </si>
  <si>
    <t>KENYA</t>
  </si>
  <si>
    <t>LITHUANIA</t>
  </si>
  <si>
    <t>MALAWI</t>
  </si>
  <si>
    <t>MYANMAR</t>
  </si>
  <si>
    <t>NAMIBIA</t>
  </si>
  <si>
    <t>POLAND</t>
  </si>
  <si>
    <t>PORTUGAL</t>
  </si>
  <si>
    <t>ROMANIA</t>
  </si>
  <si>
    <t>SWEDEN</t>
  </si>
  <si>
    <t>TOTAL</t>
  </si>
  <si>
    <t>SCP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</si>
</sst>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1" fillId="3" borderId="0" xfId="0" applyNumberFormat="1" applyFont="1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5" workbookViewId="0">
      <selection activeCell="G19" sqref="G19"/>
    </sheetView>
  </sheetViews>
  <sheetFormatPr baseColWidth="10" defaultRowHeight="15.5" x14ac:dyDescent="0.35"/>
  <cols>
    <col min="1" max="1" width="20.33203125" customWidth="1"/>
    <col min="7" max="8" width="10.6640625" style="1"/>
  </cols>
  <sheetData>
    <row r="1" spans="1:8" x14ac:dyDescent="0.35">
      <c r="A1" t="s">
        <v>0</v>
      </c>
      <c r="B1" t="s">
        <v>1</v>
      </c>
      <c r="C1" t="s">
        <v>2</v>
      </c>
      <c r="D1" t="s">
        <v>65</v>
      </c>
      <c r="E1" t="s">
        <v>3</v>
      </c>
      <c r="F1" t="s">
        <v>4</v>
      </c>
      <c r="G1" s="1" t="s">
        <v>5</v>
      </c>
      <c r="H1" s="1" t="s">
        <v>66</v>
      </c>
    </row>
    <row r="2" spans="1:8" x14ac:dyDescent="0.35">
      <c r="A2" t="s">
        <v>6</v>
      </c>
      <c r="B2">
        <v>95</v>
      </c>
      <c r="C2">
        <v>10.5908584169454</v>
      </c>
      <c r="D2">
        <f>SUM(E2:F2)</f>
        <v>95</v>
      </c>
      <c r="E2">
        <v>87</v>
      </c>
      <c r="F2">
        <v>8</v>
      </c>
      <c r="G2" s="1">
        <v>8.4210526315789505</v>
      </c>
      <c r="H2" s="2">
        <f>(E2*100)/D2</f>
        <v>91.578947368421055</v>
      </c>
    </row>
    <row r="3" spans="1:8" x14ac:dyDescent="0.35">
      <c r="A3" t="s">
        <v>7</v>
      </c>
      <c r="B3">
        <v>84</v>
      </c>
      <c r="C3">
        <v>9.3645484949832802</v>
      </c>
      <c r="D3">
        <f t="shared" ref="D3:D22" si="0">SUM(E3:F3)</f>
        <v>84</v>
      </c>
      <c r="E3">
        <v>70</v>
      </c>
      <c r="F3">
        <v>14</v>
      </c>
      <c r="G3" s="1">
        <v>16.6666666666667</v>
      </c>
      <c r="H3" s="1">
        <f t="shared" ref="H3:H22" si="1">(E3*100)/D3</f>
        <v>83.333333333333329</v>
      </c>
    </row>
    <row r="4" spans="1:8" x14ac:dyDescent="0.35">
      <c r="A4" t="s">
        <v>8</v>
      </c>
      <c r="B4">
        <v>68</v>
      </c>
      <c r="C4">
        <v>7.5808249721293199</v>
      </c>
      <c r="D4">
        <f t="shared" si="0"/>
        <v>68</v>
      </c>
      <c r="E4">
        <v>59</v>
      </c>
      <c r="F4">
        <v>9</v>
      </c>
      <c r="G4" s="1">
        <v>13.235294117647101</v>
      </c>
      <c r="H4" s="1">
        <f t="shared" si="1"/>
        <v>86.764705882352942</v>
      </c>
    </row>
    <row r="5" spans="1:8" x14ac:dyDescent="0.35">
      <c r="A5" t="s">
        <v>9</v>
      </c>
      <c r="B5">
        <v>67</v>
      </c>
      <c r="C5">
        <v>7.46934225195095</v>
      </c>
      <c r="D5">
        <f t="shared" si="0"/>
        <v>67</v>
      </c>
      <c r="E5">
        <v>55</v>
      </c>
      <c r="F5">
        <v>12</v>
      </c>
      <c r="G5" s="1">
        <v>17.910447761194</v>
      </c>
      <c r="H5" s="1">
        <f t="shared" si="1"/>
        <v>82.089552238805965</v>
      </c>
    </row>
    <row r="6" spans="1:8" x14ac:dyDescent="0.35">
      <c r="A6" t="s">
        <v>10</v>
      </c>
      <c r="B6">
        <v>47</v>
      </c>
      <c r="C6">
        <v>5.2396878483835003</v>
      </c>
      <c r="D6">
        <f t="shared" si="0"/>
        <v>47</v>
      </c>
      <c r="E6">
        <v>32</v>
      </c>
      <c r="F6">
        <v>15</v>
      </c>
      <c r="G6" s="1">
        <v>31.914893617021299</v>
      </c>
      <c r="H6" s="1">
        <f t="shared" si="1"/>
        <v>68.085106382978722</v>
      </c>
    </row>
    <row r="7" spans="1:8" x14ac:dyDescent="0.35">
      <c r="A7" t="s">
        <v>11</v>
      </c>
      <c r="B7">
        <v>44</v>
      </c>
      <c r="C7">
        <v>4.9052396878483799</v>
      </c>
      <c r="D7">
        <f t="shared" si="0"/>
        <v>44</v>
      </c>
      <c r="E7">
        <v>22</v>
      </c>
      <c r="F7">
        <v>22</v>
      </c>
      <c r="G7" s="3">
        <v>50</v>
      </c>
      <c r="H7" s="3">
        <f t="shared" si="1"/>
        <v>50</v>
      </c>
    </row>
    <row r="8" spans="1:8" x14ac:dyDescent="0.35">
      <c r="A8" t="s">
        <v>12</v>
      </c>
      <c r="B8">
        <v>27</v>
      </c>
      <c r="C8">
        <v>3.0100334448160502</v>
      </c>
      <c r="D8">
        <f t="shared" si="0"/>
        <v>27</v>
      </c>
      <c r="E8">
        <v>16</v>
      </c>
      <c r="F8">
        <v>11</v>
      </c>
      <c r="G8" s="1">
        <v>40.740740740740698</v>
      </c>
      <c r="H8" s="1">
        <f t="shared" si="1"/>
        <v>59.25925925925926</v>
      </c>
    </row>
    <row r="9" spans="1:8" x14ac:dyDescent="0.35">
      <c r="A9" t="s">
        <v>13</v>
      </c>
      <c r="B9">
        <v>24</v>
      </c>
      <c r="C9">
        <v>2.67558528428094</v>
      </c>
      <c r="D9">
        <f t="shared" si="0"/>
        <v>24</v>
      </c>
      <c r="E9">
        <v>23</v>
      </c>
      <c r="F9">
        <v>1</v>
      </c>
      <c r="G9" s="1">
        <v>4.1666666666666696</v>
      </c>
      <c r="H9" s="2">
        <f t="shared" si="1"/>
        <v>95.833333333333329</v>
      </c>
    </row>
    <row r="10" spans="1:8" x14ac:dyDescent="0.35">
      <c r="A10" t="s">
        <v>14</v>
      </c>
      <c r="B10">
        <v>16</v>
      </c>
      <c r="C10">
        <v>1.7837235228539601</v>
      </c>
      <c r="D10">
        <f t="shared" si="0"/>
        <v>16</v>
      </c>
      <c r="E10">
        <v>10</v>
      </c>
      <c r="F10">
        <v>6</v>
      </c>
      <c r="G10" s="1">
        <v>37.5</v>
      </c>
      <c r="H10" s="1">
        <f t="shared" si="1"/>
        <v>62.5</v>
      </c>
    </row>
    <row r="11" spans="1:8" x14ac:dyDescent="0.35">
      <c r="A11" t="s">
        <v>15</v>
      </c>
      <c r="B11">
        <v>15</v>
      </c>
      <c r="C11">
        <v>1.6722408026755899</v>
      </c>
      <c r="D11">
        <f t="shared" si="0"/>
        <v>15</v>
      </c>
      <c r="E11">
        <v>10</v>
      </c>
      <c r="F11">
        <v>5</v>
      </c>
      <c r="G11" s="1">
        <v>33.3333333333333</v>
      </c>
      <c r="H11" s="1">
        <f t="shared" si="1"/>
        <v>66.666666666666671</v>
      </c>
    </row>
    <row r="12" spans="1:8" x14ac:dyDescent="0.35">
      <c r="A12" t="s">
        <v>16</v>
      </c>
      <c r="B12">
        <v>14</v>
      </c>
      <c r="C12">
        <v>1.56075808249721</v>
      </c>
      <c r="D12">
        <f t="shared" si="0"/>
        <v>14</v>
      </c>
      <c r="E12">
        <v>9</v>
      </c>
      <c r="F12">
        <v>5</v>
      </c>
      <c r="G12" s="1">
        <v>35.714285714285701</v>
      </c>
      <c r="H12" s="1">
        <f t="shared" si="1"/>
        <v>64.285714285714292</v>
      </c>
    </row>
    <row r="13" spans="1:8" x14ac:dyDescent="0.35">
      <c r="A13" t="s">
        <v>17</v>
      </c>
      <c r="B13">
        <v>14</v>
      </c>
      <c r="C13">
        <v>1.56075808249721</v>
      </c>
      <c r="D13">
        <f t="shared" si="0"/>
        <v>14</v>
      </c>
      <c r="E13">
        <v>12</v>
      </c>
      <c r="F13">
        <v>2</v>
      </c>
      <c r="G13" s="1">
        <v>14.285714285714301</v>
      </c>
      <c r="H13" s="1">
        <f t="shared" si="1"/>
        <v>85.714285714285708</v>
      </c>
    </row>
    <row r="14" spans="1:8" x14ac:dyDescent="0.35">
      <c r="A14" t="s">
        <v>18</v>
      </c>
      <c r="B14">
        <v>14</v>
      </c>
      <c r="C14">
        <v>1.56075808249721</v>
      </c>
      <c r="D14">
        <f t="shared" si="0"/>
        <v>14</v>
      </c>
      <c r="E14">
        <v>12</v>
      </c>
      <c r="F14">
        <v>2</v>
      </c>
      <c r="G14" s="1">
        <v>14.285714285714301</v>
      </c>
      <c r="H14" s="1">
        <f t="shared" si="1"/>
        <v>85.714285714285708</v>
      </c>
    </row>
    <row r="15" spans="1:8" x14ac:dyDescent="0.35">
      <c r="A15" t="s">
        <v>19</v>
      </c>
      <c r="B15">
        <v>14</v>
      </c>
      <c r="C15">
        <v>1.56075808249721</v>
      </c>
      <c r="D15">
        <f t="shared" si="0"/>
        <v>14</v>
      </c>
      <c r="E15">
        <v>7</v>
      </c>
      <c r="F15">
        <v>7</v>
      </c>
      <c r="G15" s="4">
        <v>50</v>
      </c>
      <c r="H15" s="4">
        <f>(E15*100)/D15</f>
        <v>50</v>
      </c>
    </row>
    <row r="16" spans="1:8" x14ac:dyDescent="0.35">
      <c r="A16" t="s">
        <v>20</v>
      </c>
      <c r="B16">
        <v>11</v>
      </c>
      <c r="C16">
        <v>1.2263099219621001</v>
      </c>
      <c r="D16">
        <f t="shared" si="0"/>
        <v>11</v>
      </c>
      <c r="E16">
        <v>8</v>
      </c>
      <c r="F16">
        <v>3</v>
      </c>
      <c r="G16" s="1">
        <v>27.272727272727298</v>
      </c>
      <c r="H16" s="1">
        <f t="shared" si="1"/>
        <v>72.727272727272734</v>
      </c>
    </row>
    <row r="17" spans="1:8" x14ac:dyDescent="0.35">
      <c r="A17" t="s">
        <v>21</v>
      </c>
      <c r="B17">
        <v>10</v>
      </c>
      <c r="C17">
        <v>1.11482720178372</v>
      </c>
      <c r="D17">
        <f t="shared" si="0"/>
        <v>10</v>
      </c>
      <c r="E17">
        <v>5</v>
      </c>
      <c r="F17">
        <v>5</v>
      </c>
      <c r="G17" s="4">
        <v>50</v>
      </c>
      <c r="H17" s="4">
        <f t="shared" si="1"/>
        <v>50</v>
      </c>
    </row>
    <row r="18" spans="1:8" x14ac:dyDescent="0.35">
      <c r="A18" t="s">
        <v>22</v>
      </c>
      <c r="B18">
        <v>10</v>
      </c>
      <c r="C18">
        <v>1.11482720178372</v>
      </c>
      <c r="D18">
        <f t="shared" si="0"/>
        <v>10</v>
      </c>
      <c r="E18">
        <v>9</v>
      </c>
      <c r="F18">
        <v>1</v>
      </c>
      <c r="G18" s="1">
        <v>10</v>
      </c>
      <c r="H18" s="2">
        <f t="shared" si="1"/>
        <v>90</v>
      </c>
    </row>
    <row r="19" spans="1:8" x14ac:dyDescent="0.35">
      <c r="A19" t="s">
        <v>23</v>
      </c>
      <c r="B19">
        <v>8</v>
      </c>
      <c r="C19">
        <v>0.89186176142697904</v>
      </c>
      <c r="D19">
        <f t="shared" si="0"/>
        <v>8</v>
      </c>
      <c r="E19">
        <v>1</v>
      </c>
      <c r="F19">
        <v>7</v>
      </c>
      <c r="G19" s="1">
        <v>87.5</v>
      </c>
      <c r="H19" s="1">
        <f t="shared" si="1"/>
        <v>12.5</v>
      </c>
    </row>
    <row r="20" spans="1:8" x14ac:dyDescent="0.35">
      <c r="A20" t="s">
        <v>24</v>
      </c>
      <c r="B20">
        <v>8</v>
      </c>
      <c r="C20">
        <v>0.89186176142697904</v>
      </c>
      <c r="D20">
        <f t="shared" si="0"/>
        <v>8</v>
      </c>
      <c r="E20">
        <v>8</v>
      </c>
      <c r="F20">
        <v>0</v>
      </c>
      <c r="G20" s="1">
        <v>0</v>
      </c>
      <c r="H20" s="2">
        <f t="shared" si="1"/>
        <v>100</v>
      </c>
    </row>
    <row r="21" spans="1:8" x14ac:dyDescent="0.35">
      <c r="A21" t="s">
        <v>25</v>
      </c>
      <c r="B21">
        <v>7</v>
      </c>
      <c r="C21">
        <v>0.78037904124860602</v>
      </c>
      <c r="D21">
        <f t="shared" si="0"/>
        <v>7</v>
      </c>
      <c r="E21">
        <v>6</v>
      </c>
      <c r="F21">
        <v>1</v>
      </c>
      <c r="G21" s="1">
        <v>14.285714285714301</v>
      </c>
      <c r="H21" s="1">
        <f t="shared" si="1"/>
        <v>85.714285714285708</v>
      </c>
    </row>
    <row r="22" spans="1:8" x14ac:dyDescent="0.35">
      <c r="A22" t="s">
        <v>26</v>
      </c>
      <c r="B22">
        <v>7</v>
      </c>
      <c r="C22">
        <v>0.78037904124860602</v>
      </c>
      <c r="D22">
        <f t="shared" si="0"/>
        <v>7</v>
      </c>
      <c r="E22">
        <v>3</v>
      </c>
      <c r="F22">
        <v>4</v>
      </c>
      <c r="G22" s="1">
        <v>57.142857142857103</v>
      </c>
      <c r="H22" s="1">
        <f t="shared" si="1"/>
        <v>42.857142857142854</v>
      </c>
    </row>
    <row r="23" spans="1:8" x14ac:dyDescent="0.35">
      <c r="A23" t="s">
        <v>27</v>
      </c>
      <c r="B23">
        <v>6</v>
      </c>
      <c r="C23">
        <v>0.668896321070234</v>
      </c>
      <c r="E23">
        <v>5</v>
      </c>
      <c r="F23">
        <v>1</v>
      </c>
      <c r="G23" s="1">
        <v>16.6666666666667</v>
      </c>
    </row>
    <row r="24" spans="1:8" x14ac:dyDescent="0.35">
      <c r="A24" t="s">
        <v>28</v>
      </c>
      <c r="B24">
        <v>6</v>
      </c>
      <c r="C24">
        <v>0.668896321070234</v>
      </c>
      <c r="E24">
        <v>3</v>
      </c>
      <c r="F24">
        <v>3</v>
      </c>
      <c r="G24" s="1">
        <v>50</v>
      </c>
    </row>
    <row r="25" spans="1:8" x14ac:dyDescent="0.35">
      <c r="A25" t="s">
        <v>29</v>
      </c>
      <c r="B25">
        <v>6</v>
      </c>
      <c r="C25">
        <v>0.668896321070234</v>
      </c>
      <c r="E25">
        <v>4</v>
      </c>
      <c r="F25">
        <v>2</v>
      </c>
      <c r="G25" s="1">
        <v>33.3333333333333</v>
      </c>
    </row>
    <row r="26" spans="1:8" x14ac:dyDescent="0.35">
      <c r="A26" t="s">
        <v>30</v>
      </c>
      <c r="B26">
        <v>6</v>
      </c>
      <c r="C26">
        <v>0.668896321070234</v>
      </c>
      <c r="E26">
        <v>5</v>
      </c>
      <c r="F26">
        <v>1</v>
      </c>
      <c r="G26" s="1">
        <v>16.6666666666667</v>
      </c>
    </row>
    <row r="27" spans="1:8" x14ac:dyDescent="0.35">
      <c r="A27" t="s">
        <v>31</v>
      </c>
      <c r="B27">
        <v>6</v>
      </c>
      <c r="C27">
        <v>0.668896321070234</v>
      </c>
      <c r="E27">
        <v>2</v>
      </c>
      <c r="F27">
        <v>4</v>
      </c>
      <c r="G27" s="1">
        <v>66.6666666666667</v>
      </c>
    </row>
    <row r="28" spans="1:8" x14ac:dyDescent="0.35">
      <c r="A28" t="s">
        <v>32</v>
      </c>
      <c r="B28">
        <v>5</v>
      </c>
      <c r="C28">
        <v>0.55741360089186198</v>
      </c>
      <c r="E28">
        <v>4</v>
      </c>
      <c r="F28">
        <v>1</v>
      </c>
      <c r="G28" s="1">
        <v>20</v>
      </c>
    </row>
    <row r="29" spans="1:8" x14ac:dyDescent="0.35">
      <c r="A29" t="s">
        <v>33</v>
      </c>
      <c r="B29">
        <v>5</v>
      </c>
      <c r="C29">
        <v>0.55741360089186198</v>
      </c>
      <c r="E29">
        <v>3</v>
      </c>
      <c r="F29">
        <v>2</v>
      </c>
      <c r="G29" s="1">
        <v>40</v>
      </c>
    </row>
    <row r="30" spans="1:8" x14ac:dyDescent="0.35">
      <c r="A30" t="s">
        <v>34</v>
      </c>
      <c r="B30">
        <v>5</v>
      </c>
      <c r="C30">
        <v>0.55741360089186198</v>
      </c>
      <c r="E30">
        <v>5</v>
      </c>
      <c r="F30">
        <v>0</v>
      </c>
      <c r="G30" s="1">
        <v>0</v>
      </c>
    </row>
    <row r="31" spans="1:8" x14ac:dyDescent="0.35">
      <c r="A31" t="s">
        <v>35</v>
      </c>
      <c r="B31">
        <v>5</v>
      </c>
      <c r="C31">
        <v>0.55741360089186198</v>
      </c>
      <c r="E31">
        <v>3</v>
      </c>
      <c r="F31">
        <v>2</v>
      </c>
      <c r="G31" s="1">
        <v>40</v>
      </c>
    </row>
    <row r="32" spans="1:8" x14ac:dyDescent="0.35">
      <c r="A32" t="s">
        <v>36</v>
      </c>
      <c r="B32">
        <v>5</v>
      </c>
      <c r="C32">
        <v>0.55741360089186198</v>
      </c>
      <c r="E32">
        <v>2</v>
      </c>
      <c r="F32">
        <v>3</v>
      </c>
      <c r="G32" s="1">
        <v>60</v>
      </c>
    </row>
    <row r="33" spans="1:7" x14ac:dyDescent="0.35">
      <c r="A33" t="s">
        <v>37</v>
      </c>
      <c r="B33">
        <v>4</v>
      </c>
      <c r="C33">
        <v>0.44593088071348902</v>
      </c>
      <c r="E33">
        <v>3</v>
      </c>
      <c r="F33">
        <v>1</v>
      </c>
      <c r="G33" s="1">
        <v>25</v>
      </c>
    </row>
    <row r="34" spans="1:7" x14ac:dyDescent="0.35">
      <c r="A34" t="s">
        <v>38</v>
      </c>
      <c r="B34">
        <v>4</v>
      </c>
      <c r="C34">
        <v>0.44593088071348902</v>
      </c>
      <c r="E34">
        <v>1</v>
      </c>
      <c r="F34">
        <v>3</v>
      </c>
      <c r="G34" s="1">
        <v>75</v>
      </c>
    </row>
    <row r="35" spans="1:7" x14ac:dyDescent="0.35">
      <c r="A35" t="s">
        <v>39</v>
      </c>
      <c r="B35">
        <v>4</v>
      </c>
      <c r="C35">
        <v>0.44593088071348902</v>
      </c>
      <c r="E35">
        <v>2</v>
      </c>
      <c r="F35">
        <v>2</v>
      </c>
      <c r="G35" s="1">
        <v>50</v>
      </c>
    </row>
    <row r="36" spans="1:7" x14ac:dyDescent="0.35">
      <c r="A36" t="s">
        <v>40</v>
      </c>
      <c r="B36">
        <v>4</v>
      </c>
      <c r="C36">
        <v>0.44593088071348902</v>
      </c>
      <c r="E36">
        <v>4</v>
      </c>
      <c r="F36">
        <v>0</v>
      </c>
      <c r="G36" s="1">
        <v>0</v>
      </c>
    </row>
    <row r="37" spans="1:7" x14ac:dyDescent="0.35">
      <c r="A37" t="s">
        <v>41</v>
      </c>
      <c r="B37">
        <v>4</v>
      </c>
      <c r="C37">
        <v>0.44593088071348902</v>
      </c>
      <c r="E37">
        <v>2</v>
      </c>
      <c r="F37">
        <v>2</v>
      </c>
      <c r="G37" s="1">
        <v>50</v>
      </c>
    </row>
    <row r="38" spans="1:7" x14ac:dyDescent="0.35">
      <c r="A38" t="s">
        <v>42</v>
      </c>
      <c r="B38">
        <v>3</v>
      </c>
      <c r="C38">
        <v>0.334448160535117</v>
      </c>
      <c r="E38">
        <v>2</v>
      </c>
      <c r="F38">
        <v>1</v>
      </c>
      <c r="G38" s="1">
        <v>33.3333333333333</v>
      </c>
    </row>
    <row r="39" spans="1:7" x14ac:dyDescent="0.35">
      <c r="A39" t="s">
        <v>43</v>
      </c>
      <c r="B39">
        <v>3</v>
      </c>
      <c r="C39">
        <v>0.334448160535117</v>
      </c>
      <c r="E39">
        <v>3</v>
      </c>
      <c r="F39">
        <v>0</v>
      </c>
      <c r="G39" s="1">
        <v>0</v>
      </c>
    </row>
    <row r="40" spans="1:7" x14ac:dyDescent="0.35">
      <c r="A40" t="s">
        <v>44</v>
      </c>
      <c r="B40">
        <v>3</v>
      </c>
      <c r="C40">
        <v>0.334448160535117</v>
      </c>
      <c r="E40">
        <v>3</v>
      </c>
      <c r="F40">
        <v>0</v>
      </c>
      <c r="G40" s="1">
        <v>0</v>
      </c>
    </row>
    <row r="41" spans="1:7" x14ac:dyDescent="0.35">
      <c r="A41" t="s">
        <v>45</v>
      </c>
      <c r="B41">
        <v>3</v>
      </c>
      <c r="C41">
        <v>0.334448160535117</v>
      </c>
      <c r="E41">
        <v>2</v>
      </c>
      <c r="F41">
        <v>1</v>
      </c>
      <c r="G41" s="1">
        <v>33.3333333333333</v>
      </c>
    </row>
    <row r="42" spans="1:7" x14ac:dyDescent="0.35">
      <c r="A42" t="s">
        <v>46</v>
      </c>
      <c r="B42">
        <v>2</v>
      </c>
      <c r="C42">
        <v>0.22296544035674501</v>
      </c>
      <c r="E42">
        <v>0</v>
      </c>
      <c r="F42">
        <v>2</v>
      </c>
      <c r="G42" s="1">
        <v>100</v>
      </c>
    </row>
    <row r="43" spans="1:7" x14ac:dyDescent="0.35">
      <c r="A43" t="s">
        <v>47</v>
      </c>
      <c r="B43">
        <v>2</v>
      </c>
      <c r="C43">
        <v>0.22296544035674501</v>
      </c>
      <c r="E43">
        <v>1</v>
      </c>
      <c r="F43">
        <v>1</v>
      </c>
      <c r="G43" s="1">
        <v>50</v>
      </c>
    </row>
    <row r="44" spans="1:7" x14ac:dyDescent="0.35">
      <c r="A44" t="s">
        <v>48</v>
      </c>
      <c r="B44">
        <v>2</v>
      </c>
      <c r="C44">
        <v>0.22296544035674501</v>
      </c>
      <c r="E44">
        <v>2</v>
      </c>
      <c r="F44">
        <v>0</v>
      </c>
      <c r="G44" s="1">
        <v>0</v>
      </c>
    </row>
    <row r="45" spans="1:7" x14ac:dyDescent="0.35">
      <c r="A45" t="s">
        <v>49</v>
      </c>
      <c r="B45">
        <v>2</v>
      </c>
      <c r="C45">
        <v>0.22296544035674501</v>
      </c>
      <c r="E45">
        <v>0</v>
      </c>
      <c r="F45">
        <v>2</v>
      </c>
      <c r="G45" s="1">
        <v>100</v>
      </c>
    </row>
    <row r="46" spans="1:7" x14ac:dyDescent="0.35">
      <c r="A46" t="s">
        <v>50</v>
      </c>
      <c r="B46">
        <v>2</v>
      </c>
      <c r="C46">
        <v>0.22296544035674501</v>
      </c>
      <c r="E46">
        <v>2</v>
      </c>
      <c r="F46">
        <v>0</v>
      </c>
      <c r="G46" s="1">
        <v>0</v>
      </c>
    </row>
    <row r="47" spans="1:7" x14ac:dyDescent="0.35">
      <c r="A47" t="s">
        <v>51</v>
      </c>
      <c r="B47">
        <v>2</v>
      </c>
      <c r="C47">
        <v>0.22296544035674501</v>
      </c>
      <c r="E47">
        <v>1</v>
      </c>
      <c r="F47">
        <v>1</v>
      </c>
      <c r="G47" s="1">
        <v>50</v>
      </c>
    </row>
    <row r="48" spans="1:7" x14ac:dyDescent="0.35">
      <c r="A48" t="s">
        <v>52</v>
      </c>
      <c r="B48">
        <v>1</v>
      </c>
      <c r="C48">
        <v>0.11148272017837201</v>
      </c>
      <c r="E48">
        <v>1</v>
      </c>
      <c r="F48">
        <v>0</v>
      </c>
      <c r="G48" s="1">
        <v>0</v>
      </c>
    </row>
    <row r="49" spans="1:7" x14ac:dyDescent="0.35">
      <c r="A49" t="s">
        <v>53</v>
      </c>
      <c r="B49">
        <v>1</v>
      </c>
      <c r="C49">
        <v>0.11148272017837201</v>
      </c>
      <c r="E49">
        <v>0</v>
      </c>
      <c r="F49">
        <v>1</v>
      </c>
      <c r="G49" s="1">
        <v>100</v>
      </c>
    </row>
    <row r="50" spans="1:7" x14ac:dyDescent="0.35">
      <c r="A50" t="s">
        <v>54</v>
      </c>
      <c r="B50">
        <v>1</v>
      </c>
      <c r="C50">
        <v>0.11148272017837201</v>
      </c>
      <c r="E50">
        <v>0</v>
      </c>
      <c r="F50">
        <v>1</v>
      </c>
      <c r="G50" s="1">
        <v>100</v>
      </c>
    </row>
    <row r="51" spans="1:7" x14ac:dyDescent="0.35">
      <c r="A51" t="s">
        <v>55</v>
      </c>
      <c r="B51">
        <v>1</v>
      </c>
      <c r="C51">
        <v>0.11148272017837201</v>
      </c>
      <c r="E51">
        <v>1</v>
      </c>
      <c r="F51">
        <v>0</v>
      </c>
      <c r="G51" s="1">
        <v>0</v>
      </c>
    </row>
    <row r="52" spans="1:7" x14ac:dyDescent="0.35">
      <c r="A52" t="s">
        <v>56</v>
      </c>
      <c r="B52">
        <v>1</v>
      </c>
      <c r="C52">
        <v>0.11148272017837201</v>
      </c>
      <c r="E52">
        <v>0</v>
      </c>
      <c r="F52">
        <v>1</v>
      </c>
      <c r="G52" s="1">
        <v>100</v>
      </c>
    </row>
    <row r="53" spans="1:7" x14ac:dyDescent="0.35">
      <c r="A53" t="s">
        <v>57</v>
      </c>
      <c r="B53">
        <v>1</v>
      </c>
      <c r="C53">
        <v>0.11148272017837201</v>
      </c>
      <c r="E53">
        <v>0</v>
      </c>
      <c r="F53">
        <v>1</v>
      </c>
      <c r="G53" s="1">
        <v>100</v>
      </c>
    </row>
    <row r="54" spans="1:7" x14ac:dyDescent="0.35">
      <c r="A54" t="s">
        <v>58</v>
      </c>
      <c r="B54">
        <v>1</v>
      </c>
      <c r="C54">
        <v>0.11148272017837201</v>
      </c>
      <c r="E54">
        <v>0</v>
      </c>
      <c r="F54">
        <v>1</v>
      </c>
      <c r="G54" s="1">
        <v>100</v>
      </c>
    </row>
    <row r="55" spans="1:7" x14ac:dyDescent="0.35">
      <c r="A55" t="s">
        <v>59</v>
      </c>
      <c r="B55">
        <v>1</v>
      </c>
      <c r="C55">
        <v>0.11148272017837201</v>
      </c>
      <c r="E55">
        <v>0</v>
      </c>
      <c r="F55">
        <v>1</v>
      </c>
      <c r="G55" s="1">
        <v>100</v>
      </c>
    </row>
    <row r="56" spans="1:7" x14ac:dyDescent="0.35">
      <c r="A56" t="s">
        <v>60</v>
      </c>
      <c r="B56">
        <v>1</v>
      </c>
      <c r="C56">
        <v>0.11148272017837201</v>
      </c>
      <c r="E56">
        <v>1</v>
      </c>
      <c r="F56">
        <v>0</v>
      </c>
      <c r="G56" s="1">
        <v>0</v>
      </c>
    </row>
    <row r="57" spans="1:7" x14ac:dyDescent="0.35">
      <c r="A57" t="s">
        <v>61</v>
      </c>
      <c r="B57">
        <v>1</v>
      </c>
      <c r="C57">
        <v>0.11148272017837201</v>
      </c>
      <c r="E57">
        <v>1</v>
      </c>
      <c r="F57">
        <v>0</v>
      </c>
      <c r="G57" s="1">
        <v>0</v>
      </c>
    </row>
    <row r="58" spans="1:7" x14ac:dyDescent="0.35">
      <c r="A58" t="s">
        <v>62</v>
      </c>
      <c r="B58">
        <v>1</v>
      </c>
      <c r="C58">
        <v>0.11148272017837201</v>
      </c>
      <c r="E58">
        <v>1</v>
      </c>
      <c r="F58">
        <v>0</v>
      </c>
      <c r="G58" s="1">
        <v>0</v>
      </c>
    </row>
    <row r="59" spans="1:7" x14ac:dyDescent="0.35">
      <c r="A59" t="s">
        <v>63</v>
      </c>
      <c r="B59">
        <v>1</v>
      </c>
      <c r="C59">
        <v>0.11148272017837201</v>
      </c>
      <c r="E59">
        <v>1</v>
      </c>
      <c r="F59">
        <v>0</v>
      </c>
      <c r="G59" s="1">
        <v>0</v>
      </c>
    </row>
    <row r="60" spans="1:7" x14ac:dyDescent="0.35">
      <c r="A60" t="s">
        <v>64</v>
      </c>
      <c r="B60">
        <v>1</v>
      </c>
      <c r="C60">
        <v>0.11148272017837201</v>
      </c>
      <c r="E60">
        <v>0</v>
      </c>
      <c r="F60">
        <v>1</v>
      </c>
      <c r="G60" s="1">
        <v>100</v>
      </c>
    </row>
  </sheetData>
  <pageMargins left="0.7" right="0.7" top="0.75" bottom="0.75" header="0.3" footer="0.3"/>
  <ignoredErrors>
    <ignoredError sqref="E1:G60 A1:C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2026-06-07T03:33:36Z</dcterms:modified>
</cp:coreProperties>
</file>